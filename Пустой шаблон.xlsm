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Project\procurement_transformation\"/>
    </mc:Choice>
  </mc:AlternateContent>
  <xr:revisionPtr revIDLastSave="0" documentId="13_ncr:1_{7ABE96D5-CA5A-42E9-8EDE-0B6A2D44D007}" xr6:coauthVersionLast="47" xr6:coauthVersionMax="47" xr10:uidLastSave="{00000000-0000-0000-0000-000000000000}"/>
  <bookViews>
    <workbookView xWindow="-120" yWindow="-120" windowWidth="29040" windowHeight="15720" tabRatio="578" activeTab="1" xr2:uid="{00000000-000D-0000-FFFF-FFFF00000000}"/>
  </bookViews>
  <sheets>
    <sheet name="Форма КП (для анализа рынка) ВР" sheetId="25" r:id="rId1"/>
    <sheet name="footer" sheetId="28" r:id="rId2"/>
    <sheet name="Справочник" sheetId="26" r:id="rId3"/>
    <sheet name="Шаблон" sheetId="27" r:id="rId4"/>
  </sheets>
  <functionGroups builtInGroupCount="19"/>
  <definedNames>
    <definedName name="_xlnm._FilterDatabase" localSheetId="2" hidden="1">Справочник!$A$1:$N$1</definedName>
    <definedName name="ExternalData_7" localSheetId="2" hidden="1">Справочник!$A$1:$N$1</definedName>
    <definedName name="услуги">'Форма КП (для анализа рынка) ВР'!$B$17:INDEX('Форма КП (для анализа рынка) ВР'!$B:$B, MATCH("Всего без НДС",'Форма КП (для анализа рынка) ВР'!$B:$B,0)-1)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9" i="28" l="1"/>
  <c r="H1" i="28" a="1"/>
  <c r="H1" i="28" s="1"/>
  <c r="F1" i="28" a="1"/>
  <c r="F1" i="28" s="1"/>
  <c r="C11" i="25" l="1"/>
  <c r="A16" i="27"/>
  <c r="A11" i="27"/>
  <c r="A4" i="27"/>
  <c r="H11" i="27" l="1"/>
  <c r="F11" i="27"/>
  <c r="H17" i="27"/>
  <c r="F17" i="27"/>
  <c r="H4" i="27"/>
  <c r="F3" i="28"/>
  <c r="H3" i="2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6F752F-DB46-4BB0-8259-91D036704A55}" keepAlive="1" name="Запрос — Количество закупок по услугам" description="Соединение с запросом &quot;Количество закупок по услугам&quot; в книге." type="5" refreshedVersion="0" background="1">
    <dbPr connection="Provider=Microsoft.Mashup.OleDb.1;Data Source=$Workbook$;Location=&quot;Количество закупок по услугам&quot;;Extended Properties=&quot;&quot;" command="SELECT * FROM [Количество закупок по услугам]"/>
  </connection>
  <connection id="2" xr16:uid="{79E1E22B-3F96-4F14-943C-9516218B81C1}" keepAlive="1" name="Запрос — Количество закупок по этапам" description="Соединение с запросом &quot;Количество закупок по этапам&quot; в книге." type="5" refreshedVersion="0" background="1">
    <dbPr connection="Provider=Microsoft.Mashup.OleDb.1;Data Source=$Workbook$;Location=&quot;Количество закупок по этапам&quot;;Extended Properties=&quot;&quot;" command="SELECT * FROM [Количество закупок по этапам]"/>
  </connection>
  <connection id="3" xr16:uid="{5D817D26-8BAC-4FAE-B12B-8EF679F1B664}" keepAlive="1" name="Запрос — Количестов закупок по ЕИ" description="Соединение с запросом &quot;Количестов закупок по ЕИ&quot; в книге." type="5" refreshedVersion="0" background="1">
    <dbPr connection="Provider=Microsoft.Mashup.OleDb.1;Data Source=$Workbook$;Location=&quot;Количестов закупок по ЕИ&quot;;Extended Properties=&quot;&quot;" command="SELECT * FROM [Количестов закупок по ЕИ]"/>
  </connection>
  <connection id="4" xr16:uid="{FBC29DF8-3B25-48C0-8ECB-306DA3F7395B}" keepAlive="1" name="Запрос — Количестов закупок по расценкам" description="Соединение с запросом &quot;Количестов закупок по расценкам&quot; в книге." type="5" refreshedVersion="0" background="1">
    <dbPr connection="Provider=Microsoft.Mashup.OleDb.1;Data Source=$Workbook$;Location=&quot;Количестов закупок по расценкам&quot;;Extended Properties=&quot;&quot;" command="SELECT * FROM [Количестов закупок по расценкам]"/>
  </connection>
  <connection id="5" xr16:uid="{A680036F-2EBF-4B6F-AAEA-8D833D82107E}" keepAlive="1" name="Запрос — Проценты по ЕИ" description="Соединение с запросом &quot;Проценты по ЕИ&quot; в книге." type="5" refreshedVersion="6" background="1" saveData="1">
    <dbPr connection="Provider=Microsoft.Mashup.OleDb.1;Data Source=$Workbook$;Location=&quot;Проценты по ЕИ&quot;;Extended Properties=&quot;&quot;" command="SELECT * FROM [Проценты по ЕИ]"/>
  </connection>
  <connection id="6" xr16:uid="{78B9F060-DC3B-4A2D-9CBF-A3B37147D5B1}" keepAlive="1" name="Запрос — Проценты по расценкам" description="Соединение с запросом &quot;Проценты по расценкам&quot; в книге." type="5" refreshedVersion="0" background="1">
    <dbPr connection="Provider=Microsoft.Mashup.OleDb.1;Data Source=$Workbook$;Location=&quot;Проценты по расценкам&quot;;Extended Properties=&quot;&quot;" command="SELECT * FROM [Проценты по расценкам]"/>
  </connection>
  <connection id="7" xr16:uid="{5F858605-9C49-4282-8C3F-483C193E1657}" keepAlive="1" name="Запрос — Проценты по этапам" description="Соединение с запросом &quot;Проценты по этапам&quot; в книге." type="5" refreshedVersion="0" background="1">
    <dbPr connection="Provider=Microsoft.Mashup.OleDb.1;Data Source=$Workbook$;Location=&quot;Проценты по этапам&quot;;Extended Properties=&quot;&quot;" command="SELECT * FROM [Проценты по этапам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<sst xmlns="http://schemas.openxmlformats.org/spreadsheetml/2006/main" count="61" uniqueCount="51">
  <si>
    <t>№ п\п</t>
  </si>
  <si>
    <t>Срок действия предложения:</t>
  </si>
  <si>
    <t>Наименование Участника анализа рынка:</t>
  </si>
  <si>
    <t>Единица измерения
(ЕИ)</t>
  </si>
  <si>
    <t>Коммерческое предложение</t>
  </si>
  <si>
    <t>Наименование предмета закупки:</t>
  </si>
  <si>
    <t>Валюта:</t>
  </si>
  <si>
    <r>
      <rPr>
        <b/>
        <sz val="10"/>
        <rFont val="Arial"/>
        <family val="2"/>
        <charset val="204"/>
      </rPr>
      <t xml:space="preserve">Командировочные расходы </t>
    </r>
    <r>
      <rPr>
        <i/>
        <sz val="10"/>
        <rFont val="Arial"/>
        <family val="2"/>
        <charset val="204"/>
      </rPr>
      <t xml:space="preserve">
(При необходимости. Включаются в стоимость КП, если в ТЗ не заявлено требование об оказании услуг/выполнения работ в удаленном формате и/или для оказании услуг/выполнения работ требуется оформление командировки для указанного выше состава исполнителей)</t>
    </r>
  </si>
  <si>
    <t>Сегмент:</t>
  </si>
  <si>
    <t>Подсегмент:</t>
  </si>
  <si>
    <t>ЕИ</t>
  </si>
  <si>
    <t>В шаблоне изменять кол-во строк нельзя.</t>
  </si>
  <si>
    <t xml:space="preserve">Обращаем Ваше внимание! Обработка Коммерческого предложения осуществляется в роботизированном режиме. 
Коммерческое предложение должно быть сформировано СТРОГО В СООТВЕТСТВИИ с приведенной ниже формой. </t>
  </si>
  <si>
    <t>Код услуги КТ-777:</t>
  </si>
  <si>
    <t>Наименование услуги КТ-777:</t>
  </si>
  <si>
    <t>российский рубль (RUB)</t>
  </si>
  <si>
    <t>Наименование этапа / услуги (работы)</t>
  </si>
  <si>
    <t>Наименование расценки</t>
  </si>
  <si>
    <t>Альтернативное наименование расценки</t>
  </si>
  <si>
    <t>Кол-во ЕИ</t>
  </si>
  <si>
    <t>Наименование расценки 1</t>
  </si>
  <si>
    <t>Итого:</t>
  </si>
  <si>
    <t>Всего без НДС</t>
  </si>
  <si>
    <t>Консалтинг</t>
  </si>
  <si>
    <t>Аналитические исследования</t>
  </si>
  <si>
    <t>Подготовка, сбор и анализ предложений по внесению изменений в Лесной кодекс Российской Федерации в части введения упрощенного порядка оформления документов на проведение геологоразведочных, сейсморазведочных и изыскательских работ на землях лесного фонда и изменения правового режима защитных лесов для целей геологического изучения и разработки месторождений полезных ископаемых</t>
  </si>
  <si>
    <t>Сегмент</t>
  </si>
  <si>
    <t>Подсегмент</t>
  </si>
  <si>
    <t xml:space="preserve">Код услуги </t>
  </si>
  <si>
    <t>Наименование услуги</t>
  </si>
  <si>
    <t>Количество</t>
  </si>
  <si>
    <t>Наименование этапов/подэтапов услуг/работ</t>
  </si>
  <si>
    <t>Количество закупок по этапам</t>
  </si>
  <si>
    <t>Процент закупок по этапам</t>
  </si>
  <si>
    <t>Наименование расценок</t>
  </si>
  <si>
    <t>Количестов закупок по наименованиям расценок</t>
  </si>
  <si>
    <t>Процент закупок по наименованиям расценок</t>
  </si>
  <si>
    <t>Наименование ЕИ</t>
  </si>
  <si>
    <t>Количество закупок по ЕИ</t>
  </si>
  <si>
    <t>Процент закупок по ЕИ</t>
  </si>
  <si>
    <t>91202</t>
  </si>
  <si>
    <t>Заполянется при необходимости. См. пояснения п.3.</t>
  </si>
  <si>
    <t>Стоимость ЕИ
в валюте Участника</t>
  </si>
  <si>
    <t>ИТОГО
в валюте Участника</t>
  </si>
  <si>
    <t>Сумма НДС</t>
  </si>
  <si>
    <t>Всего с НДС</t>
  </si>
  <si>
    <r>
      <rPr>
        <b/>
        <sz val="10"/>
        <rFont val="Arial"/>
        <family val="2"/>
        <charset val="204"/>
      </rPr>
      <t>Пояснения для Участника анализа рынка по заполнению Коммерческого предложения:</t>
    </r>
    <r>
      <rPr>
        <sz val="10"/>
        <rFont val="Arial"/>
        <family val="2"/>
        <charset val="204"/>
      </rPr>
      <t xml:space="preserve">
1. Представленное Коммерческое предложение должно учитывать все затраты Участника анализа рынка.
2. Все показатели, участвующие в расчёте цены, остаются неизменными на весь период действия Коммерческого предложения.
3. Заполняется Участником анализа рынка (при необходимости). Указывается другое наименование расценки (отличное от исходной в столбце 3), но сопоставимое по функционалу. При совпадении наименования расценки поле не заполняется. 
4. Значения, указанные в столбцах «Кол-во ЕИ», «Стоимость ЕИ без НДС, в валюте Участника», «ИТОГО без НДС,в валюте Участника» необходимо указывать с двумя знаками после запятой, без округлений до целого числа.
5. Если Участник анализа рынка работает по упрощенной системе налогообложения и стоимость его предложения не облагается НДС, то в Коммерческом предложении необходимо:
- по строке « Сумма НДС» указать "0". 
- после таблицы добавить примечание: "Стоимость предложения не облагается НДС, а соответствии с _ </t>
    </r>
    <r>
      <rPr>
        <sz val="10"/>
        <color rgb="FFC00000"/>
        <rFont val="Arial"/>
        <family val="2"/>
        <charset val="204"/>
      </rPr>
      <t>(указать статью)</t>
    </r>
    <r>
      <rPr>
        <sz val="10"/>
        <rFont val="Arial"/>
        <family val="2"/>
        <charset val="204"/>
      </rPr>
      <t xml:space="preserve"> статьей НК РФ".
</t>
    </r>
  </si>
  <si>
    <t>(должность подписанта полностью)</t>
  </si>
  <si>
    <t>(подпись)</t>
  </si>
  <si>
    <t>печать</t>
  </si>
  <si>
    <t>(Ф.И.О)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</si>
</sst>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.00_р_._-;\-* #,##0.00_р_._-;_-* &quot;-&quot;??_р_._-;_-@_-"/>
    <numFmt numFmtId="165" formatCode="_-* #,##0_-;\-* #,##0_-;_-* &quot;-&quot;??_-;_-@_-"/>
  </numFmts>
  <fonts count="34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NTTimes/Cyrillic"/>
    </font>
    <font>
      <sz val="11"/>
      <color theme="1"/>
      <name val="Calibri"/>
      <family val="2"/>
      <scheme val="minor"/>
    </font>
    <font>
      <b/>
      <sz val="14"/>
      <color indexed="8"/>
      <name val="Arial"/>
      <family val="2"/>
      <charset val="204"/>
    </font>
    <font>
      <sz val="10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10"/>
      <name val="Arial"/>
      <family val="2"/>
      <charset val="204"/>
    </font>
    <font>
      <sz val="9"/>
      <name val="Arial"/>
      <family val="2"/>
      <charset val="204"/>
    </font>
    <font>
      <i/>
      <sz val="10"/>
      <name val="Arial"/>
      <family val="2"/>
      <charset val="204"/>
    </font>
    <font>
      <b/>
      <sz val="9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rgb="FF00B0F0"/>
      <name val="Arial"/>
      <family val="2"/>
      <charset val="204"/>
    </font>
    <font>
      <sz val="11"/>
      <color rgb="FF00B0F0"/>
      <name val="Arial"/>
      <family val="2"/>
      <charset val="204"/>
    </font>
    <font>
      <sz val="8"/>
      <name val="Arial Cyr"/>
      <charset val="204"/>
    </font>
    <font>
      <sz val="10"/>
      <color rgb="FF000000"/>
      <name val="Arial Cyr"/>
    </font>
    <font>
      <b/>
      <sz val="10"/>
      <color rgb="FFFF0000"/>
      <name val="Arial Cyr"/>
      <charset val="204"/>
    </font>
    <font>
      <b/>
      <sz val="10"/>
      <name val="Arial Cyr"/>
      <charset val="204"/>
    </font>
    <font>
      <b/>
      <sz val="12"/>
      <color rgb="FFC00000"/>
      <name val="Arial"/>
      <family val="2"/>
      <charset val="204"/>
    </font>
    <font>
      <b/>
      <sz val="12"/>
      <color indexed="8"/>
      <name val="Arial"/>
      <family val="2"/>
      <charset val="204"/>
    </font>
    <font>
      <i/>
      <sz val="9"/>
      <color theme="1" tint="0.34998626667073579"/>
      <name val="Arial"/>
      <family val="2"/>
      <charset val="204"/>
    </font>
    <font>
      <b/>
      <sz val="11"/>
      <color theme="0"/>
      <name val="Calibri"/>
      <family val="2"/>
      <charset val="204"/>
      <scheme val="minor"/>
    </font>
    <font>
      <b/>
      <i/>
      <sz val="10"/>
      <name val="Arial"/>
      <family val="2"/>
      <charset val="204"/>
    </font>
    <font>
      <b/>
      <sz val="11"/>
      <color indexed="8"/>
      <name val="Arial"/>
      <family val="2"/>
      <charset val="204"/>
    </font>
    <font>
      <sz val="10"/>
      <color theme="1"/>
      <name val="Arial"/>
      <family val="2"/>
      <charset val="204"/>
    </font>
    <font>
      <i/>
      <sz val="10"/>
      <color theme="1" tint="0.499984740745262"/>
      <name val="Arial"/>
      <family val="2"/>
      <charset val="204"/>
    </font>
    <font>
      <sz val="10"/>
      <color rgb="FFC00000"/>
      <name val="Arial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9"/>
        <bgColor theme="9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indexed="64"/>
      </top>
      <bottom/>
      <diagonal/>
    </border>
  </borders>
  <cellStyleXfs count="81">
    <xf numFmtId="0" fontId="0" fillId="0" borderId="0"/>
    <xf numFmtId="0" fontId="9" fillId="0" borderId="0"/>
    <xf numFmtId="0" fontId="7" fillId="0" borderId="0"/>
    <xf numFmtId="0" fontId="8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0" fontId="11" fillId="0" borderId="0"/>
    <xf numFmtId="0" fontId="18" fillId="0" borderId="0"/>
    <xf numFmtId="0" fontId="6" fillId="0" borderId="0"/>
    <xf numFmtId="0" fontId="5" fillId="0" borderId="0"/>
    <xf numFmtId="0" fontId="4" fillId="0" borderId="0"/>
    <xf numFmtId="164" fontId="4" fillId="0" borderId="0" applyFont="0" applyFill="0" applyBorder="0" applyAlignment="0" applyProtection="0"/>
    <xf numFmtId="0" fontId="11" fillId="0" borderId="0"/>
    <xf numFmtId="0" fontId="9" fillId="0" borderId="0"/>
    <xf numFmtId="0" fontId="4" fillId="0" borderId="0"/>
    <xf numFmtId="0" fontId="4" fillId="0" borderId="0"/>
    <xf numFmtId="43" fontId="9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43" fontId="9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43" fontId="9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</cellStyleXfs>
  <cellXfs count="92">
    <xf numFmtId="0" fontId="0" fillId="0" borderId="0" xfId="0"/>
    <xf numFmtId="0" fontId="13" fillId="0" borderId="0" xfId="1" applyFont="1" applyAlignment="1">
      <alignment wrapText="1"/>
    </xf>
    <xf numFmtId="0" fontId="15" fillId="0" borderId="0" xfId="1" applyFont="1" applyAlignment="1">
      <alignment wrapText="1"/>
    </xf>
    <xf numFmtId="0" fontId="11" fillId="0" borderId="0" xfId="1" applyFont="1" applyAlignment="1">
      <alignment wrapText="1"/>
    </xf>
    <xf numFmtId="0" fontId="15" fillId="0" borderId="0" xfId="1" applyFont="1" applyAlignment="1" applyProtection="1">
      <alignment wrapText="1"/>
      <protection locked="0"/>
    </xf>
    <xf numFmtId="0" fontId="11" fillId="0" borderId="0" xfId="1" applyFont="1" applyAlignment="1" applyProtection="1">
      <alignment wrapText="1"/>
      <protection locked="0"/>
    </xf>
    <xf numFmtId="0" fontId="0" fillId="0" borderId="0" xfId="0" applyProtection="1">
      <protection locked="0"/>
    </xf>
    <xf numFmtId="0" fontId="23" fillId="4" borderId="0" xfId="0" applyFont="1" applyFill="1" applyProtection="1">
      <protection locked="0"/>
    </xf>
    <xf numFmtId="0" fontId="24" fillId="4" borderId="0" xfId="0" applyFont="1" applyFill="1" applyProtection="1">
      <protection locked="0"/>
    </xf>
    <xf numFmtId="49" fontId="13" fillId="0" borderId="0" xfId="1" applyNumberFormat="1" applyFont="1" applyAlignment="1">
      <alignment horizontal="left" vertical="center" wrapText="1"/>
    </xf>
    <xf numFmtId="0" fontId="15" fillId="0" borderId="7" xfId="2" applyFont="1" applyBorder="1" applyAlignment="1">
      <alignment horizontal="center" vertical="center" wrapText="1"/>
    </xf>
    <xf numFmtId="0" fontId="15" fillId="0" borderId="15" xfId="2" applyFont="1" applyBorder="1" applyAlignment="1">
      <alignment horizontal="center" vertical="center" wrapText="1"/>
    </xf>
    <xf numFmtId="0" fontId="15" fillId="0" borderId="20" xfId="2" applyFont="1" applyBorder="1" applyAlignment="1">
      <alignment horizontal="center" vertical="center" wrapText="1"/>
    </xf>
    <xf numFmtId="0" fontId="11" fillId="0" borderId="14" xfId="2" applyFont="1" applyBorder="1" applyAlignment="1">
      <alignment vertical="center" wrapText="1"/>
    </xf>
    <xf numFmtId="0" fontId="27" fillId="0" borderId="15" xfId="2" applyFont="1" applyBorder="1" applyAlignment="1">
      <alignment vertical="center" wrapText="1"/>
    </xf>
    <xf numFmtId="11" fontId="13" fillId="0" borderId="14" xfId="1" applyNumberFormat="1" applyFont="1" applyBorder="1" applyAlignment="1">
      <alignment horizontal="center" vertical="center" wrapText="1"/>
    </xf>
    <xf numFmtId="2" fontId="11" fillId="2" borderId="14" xfId="2" applyNumberFormat="1" applyFont="1" applyFill="1" applyBorder="1" applyAlignment="1">
      <alignment horizontal="center" vertical="center" wrapText="1"/>
    </xf>
    <xf numFmtId="4" fontId="11" fillId="2" borderId="14" xfId="2" applyNumberFormat="1" applyFont="1" applyFill="1" applyBorder="1" applyAlignment="1">
      <alignment horizontal="center" vertical="center" wrapText="1"/>
    </xf>
    <xf numFmtId="4" fontId="11" fillId="2" borderId="16" xfId="2" applyNumberFormat="1" applyFont="1" applyFill="1" applyBorder="1" applyAlignment="1">
      <alignment horizontal="center" vertical="center" wrapText="1"/>
    </xf>
    <xf numFmtId="2" fontId="14" fillId="2" borderId="1" xfId="2" applyNumberFormat="1" applyFont="1" applyFill="1" applyBorder="1" applyAlignment="1">
      <alignment horizontal="center" vertical="center" wrapText="1"/>
    </xf>
    <xf numFmtId="4" fontId="11" fillId="2" borderId="1" xfId="2" applyNumberFormat="1" applyFont="1" applyFill="1" applyBorder="1" applyAlignment="1">
      <alignment horizontal="center" vertical="center" wrapText="1"/>
    </xf>
    <xf numFmtId="4" fontId="14" fillId="2" borderId="2" xfId="2" applyNumberFormat="1" applyFont="1" applyFill="1" applyBorder="1" applyAlignment="1">
      <alignment horizontal="center" vertical="center" wrapText="1"/>
    </xf>
    <xf numFmtId="0" fontId="16" fillId="3" borderId="5" xfId="2" applyFont="1" applyFill="1" applyBorder="1" applyAlignment="1">
      <alignment horizontal="left" vertical="center" wrapText="1"/>
    </xf>
    <xf numFmtId="11" fontId="11" fillId="3" borderId="1" xfId="1" applyNumberFormat="1" applyFont="1" applyFill="1" applyBorder="1" applyAlignment="1">
      <alignment vertical="center" wrapText="1"/>
    </xf>
    <xf numFmtId="165" fontId="11" fillId="3" borderId="1" xfId="4" applyNumberFormat="1" applyFont="1" applyFill="1" applyBorder="1" applyAlignment="1">
      <alignment vertical="center" wrapText="1"/>
    </xf>
    <xf numFmtId="165" fontId="11" fillId="3" borderId="4" xfId="4" applyNumberFormat="1" applyFont="1" applyFill="1" applyBorder="1" applyAlignment="1">
      <alignment vertical="center" wrapText="1"/>
    </xf>
    <xf numFmtId="4" fontId="11" fillId="3" borderId="2" xfId="2" applyNumberFormat="1" applyFont="1" applyFill="1" applyBorder="1" applyAlignment="1">
      <alignment horizontal="center" vertical="center" wrapText="1"/>
    </xf>
    <xf numFmtId="0" fontId="11" fillId="5" borderId="8" xfId="2" applyFont="1" applyFill="1" applyBorder="1" applyAlignment="1">
      <alignment horizontal="center" vertical="center" wrapText="1"/>
    </xf>
    <xf numFmtId="0" fontId="12" fillId="5" borderId="12" xfId="2" applyFont="1" applyFill="1" applyBorder="1" applyAlignment="1">
      <alignment horizontal="left" vertical="center" wrapText="1"/>
    </xf>
    <xf numFmtId="0" fontId="12" fillId="5" borderId="9" xfId="2" applyFont="1" applyFill="1" applyBorder="1" applyAlignment="1">
      <alignment horizontal="center" vertical="center" wrapText="1"/>
    </xf>
    <xf numFmtId="4" fontId="14" fillId="5" borderId="9" xfId="2" applyNumberFormat="1" applyFont="1" applyFill="1" applyBorder="1" applyAlignment="1">
      <alignment horizontal="center" vertical="center" wrapText="1"/>
    </xf>
    <xf numFmtId="4" fontId="14" fillId="5" borderId="10" xfId="2" applyNumberFormat="1" applyFont="1" applyFill="1" applyBorder="1" applyAlignment="1">
      <alignment horizontal="center" vertical="center" wrapText="1"/>
    </xf>
    <xf numFmtId="0" fontId="11" fillId="0" borderId="21" xfId="2" applyNumberFormat="1" applyFont="1" applyBorder="1" applyAlignment="1">
      <alignment horizontal="center" vertical="center" wrapText="1"/>
    </xf>
    <xf numFmtId="0" fontId="11" fillId="0" borderId="3" xfId="2" applyNumberFormat="1" applyFont="1" applyBorder="1" applyAlignment="1">
      <alignment horizontal="center" vertical="center" wrapText="1"/>
    </xf>
    <xf numFmtId="0" fontId="11" fillId="3" borderId="3" xfId="2" applyNumberFormat="1" applyFont="1" applyFill="1" applyBorder="1" applyAlignment="1">
      <alignment horizontal="center" vertical="center" wrapText="1"/>
    </xf>
    <xf numFmtId="49" fontId="0" fillId="0" borderId="0" xfId="0" applyNumberFormat="1"/>
    <xf numFmtId="49" fontId="28" fillId="6" borderId="23" xfId="0" applyNumberFormat="1" applyFont="1" applyFill="1" applyBorder="1"/>
    <xf numFmtId="49" fontId="28" fillId="6" borderId="24" xfId="0" applyNumberFormat="1" applyFont="1" applyFill="1" applyBorder="1"/>
    <xf numFmtId="49" fontId="28" fillId="6" borderId="24" xfId="0" applyNumberFormat="1" applyFont="1" applyFill="1" applyBorder="1" applyAlignment="1">
      <alignment wrapText="1"/>
    </xf>
    <xf numFmtId="49" fontId="28" fillId="6" borderId="25" xfId="0" applyNumberFormat="1" applyFont="1" applyFill="1" applyBorder="1"/>
    <xf numFmtId="49" fontId="13" fillId="0" borderId="0" xfId="1" applyNumberFormat="1" applyFont="1" applyAlignment="1">
      <alignment vertical="center" wrapText="1"/>
    </xf>
    <xf numFmtId="49" fontId="13" fillId="0" borderId="0" xfId="1" applyNumberFormat="1" applyFont="1" applyAlignment="1">
      <alignment vertical="center" wrapText="1"/>
    </xf>
    <xf numFmtId="49" fontId="11" fillId="0" borderId="6" xfId="2" applyNumberFormat="1" applyFont="1" applyFill="1" applyBorder="1" applyAlignment="1" applyProtection="1">
      <alignment horizontal="center" vertical="center" wrapText="1"/>
      <protection locked="0"/>
    </xf>
    <xf numFmtId="0" fontId="16" fillId="0" borderId="0" xfId="1" applyFont="1" applyAlignment="1">
      <alignment wrapText="1"/>
    </xf>
    <xf numFmtId="0" fontId="29" fillId="0" borderId="0" xfId="1" applyFont="1" applyAlignment="1">
      <alignment wrapText="1"/>
    </xf>
    <xf numFmtId="0" fontId="11" fillId="0" borderId="0" xfId="1" applyFont="1" applyAlignment="1">
      <alignment wrapText="1"/>
    </xf>
    <xf numFmtId="11" fontId="12" fillId="0" borderId="0" xfId="1" applyNumberFormat="1" applyFont="1" applyAlignment="1">
      <alignment horizontal="left" vertical="center" wrapText="1"/>
    </xf>
    <xf numFmtId="0" fontId="30" fillId="0" borderId="0" xfId="1" applyFont="1" applyAlignment="1">
      <alignment horizontal="center" vertical="center" wrapText="1"/>
    </xf>
    <xf numFmtId="0" fontId="31" fillId="0" borderId="0" xfId="1" applyFont="1" applyAlignment="1">
      <alignment horizontal="center" wrapText="1"/>
    </xf>
    <xf numFmtId="0" fontId="11" fillId="5" borderId="8" xfId="2" applyFont="1" applyFill="1" applyBorder="1" applyAlignment="1">
      <alignment horizontal="center" vertical="center" wrapText="1"/>
    </xf>
    <xf numFmtId="0" fontId="12" fillId="5" borderId="12" xfId="2" applyFont="1" applyFill="1" applyBorder="1" applyAlignment="1">
      <alignment horizontal="left" vertical="center" wrapText="1"/>
    </xf>
    <xf numFmtId="0" fontId="12" fillId="5" borderId="9" xfId="2" applyFont="1" applyFill="1" applyBorder="1" applyAlignment="1">
      <alignment horizontal="center" vertical="center" wrapText="1"/>
    </xf>
    <xf numFmtId="4" fontId="14" fillId="5" borderId="9" xfId="2" applyNumberFormat="1" applyFont="1" applyFill="1" applyBorder="1" applyAlignment="1">
      <alignment horizontal="center" vertical="center" wrapText="1"/>
    </xf>
    <xf numFmtId="0" fontId="12" fillId="5" borderId="18" xfId="2" applyFont="1" applyFill="1" applyBorder="1" applyAlignment="1">
      <alignment horizontal="left" vertical="center" wrapText="1"/>
    </xf>
    <xf numFmtId="0" fontId="12" fillId="5" borderId="18" xfId="2" applyFont="1" applyFill="1" applyBorder="1" applyAlignment="1">
      <alignment horizontal="center" vertical="center" wrapText="1"/>
    </xf>
    <xf numFmtId="4" fontId="14" fillId="5" borderId="18" xfId="2" applyNumberFormat="1" applyFont="1" applyFill="1" applyBorder="1" applyAlignment="1">
      <alignment horizontal="center" vertical="center" wrapText="1"/>
    </xf>
    <xf numFmtId="4" fontId="14" fillId="5" borderId="19" xfId="2" applyNumberFormat="1" applyFont="1" applyFill="1" applyBorder="1" applyAlignment="1">
      <alignment horizontal="center" vertical="center" wrapText="1"/>
    </xf>
    <xf numFmtId="0" fontId="32" fillId="0" borderId="0" xfId="1" applyFont="1" applyAlignment="1">
      <alignment vertical="top" wrapText="1"/>
    </xf>
    <xf numFmtId="0" fontId="16" fillId="3" borderId="5" xfId="2" applyFont="1" applyFill="1" applyBorder="1" applyAlignment="1">
      <alignment horizontal="left" vertical="center" wrapText="1"/>
    </xf>
    <xf numFmtId="2" fontId="17" fillId="2" borderId="16" xfId="1" applyNumberFormat="1" applyFont="1" applyFill="1" applyBorder="1" applyAlignment="1">
      <alignment horizontal="center" vertical="center" wrapText="1"/>
    </xf>
    <xf numFmtId="2" fontId="17" fillId="2" borderId="19" xfId="1" applyNumberFormat="1" applyFont="1" applyFill="1" applyBorder="1" applyAlignment="1">
      <alignment horizontal="center" vertical="center" wrapText="1"/>
    </xf>
    <xf numFmtId="2" fontId="17" fillId="2" borderId="14" xfId="1" applyNumberFormat="1" applyFont="1" applyFill="1" applyBorder="1" applyAlignment="1">
      <alignment horizontal="center" vertical="center" wrapText="1"/>
    </xf>
    <xf numFmtId="2" fontId="17" fillId="2" borderId="18" xfId="1" applyNumberFormat="1" applyFont="1" applyFill="1" applyBorder="1" applyAlignment="1">
      <alignment horizontal="center" vertical="center" wrapText="1"/>
    </xf>
    <xf numFmtId="2" fontId="17" fillId="0" borderId="14" xfId="1" applyNumberFormat="1" applyFont="1" applyBorder="1" applyAlignment="1">
      <alignment horizontal="center" vertical="center" wrapText="1"/>
    </xf>
    <xf numFmtId="2" fontId="17" fillId="0" borderId="18" xfId="1" applyNumberFormat="1" applyFont="1" applyBorder="1" applyAlignment="1">
      <alignment horizontal="center" vertical="center" wrapText="1"/>
    </xf>
    <xf numFmtId="0" fontId="17" fillId="0" borderId="13" xfId="1" applyFont="1" applyBorder="1" applyAlignment="1">
      <alignment horizontal="center" vertical="center" wrapText="1"/>
    </xf>
    <xf numFmtId="0" fontId="17" fillId="0" borderId="17" xfId="1" applyFont="1" applyBorder="1" applyAlignment="1">
      <alignment horizontal="center" vertical="center" wrapText="1"/>
    </xf>
    <xf numFmtId="0" fontId="17" fillId="0" borderId="14" xfId="1" applyFont="1" applyBorder="1" applyAlignment="1">
      <alignment horizontal="center" vertical="center" wrapText="1"/>
    </xf>
    <xf numFmtId="0" fontId="17" fillId="0" borderId="18" xfId="1" applyFont="1" applyBorder="1" applyAlignment="1">
      <alignment horizontal="center" vertical="center" wrapText="1"/>
    </xf>
    <xf numFmtId="0" fontId="17" fillId="0" borderId="15" xfId="1" applyFont="1" applyBorder="1" applyAlignment="1">
      <alignment horizontal="center" vertical="center" wrapText="1"/>
    </xf>
    <xf numFmtId="0" fontId="17" fillId="0" borderId="9" xfId="1" applyFont="1" applyBorder="1" applyAlignment="1">
      <alignment horizontal="center" vertical="center" wrapText="1"/>
    </xf>
    <xf numFmtId="0" fontId="25" fillId="0" borderId="0" xfId="1" applyFont="1" applyAlignment="1">
      <alignment horizontal="center" vertical="center" wrapText="1"/>
    </xf>
    <xf numFmtId="0" fontId="11" fillId="0" borderId="0" xfId="1" applyFont="1" applyAlignment="1">
      <alignment horizontal="center" wrapText="1"/>
    </xf>
    <xf numFmtId="0" fontId="10" fillId="0" borderId="0" xfId="1" applyFont="1" applyAlignment="1">
      <alignment horizontal="center" vertical="center" wrapText="1"/>
    </xf>
    <xf numFmtId="0" fontId="26" fillId="0" borderId="0" xfId="1" applyFont="1" applyAlignment="1">
      <alignment horizontal="center" vertical="center" wrapText="1"/>
    </xf>
    <xf numFmtId="49" fontId="13" fillId="0" borderId="0" xfId="1" applyNumberFormat="1" applyFont="1" applyAlignment="1">
      <alignment horizontal="left" vertical="center" wrapText="1"/>
    </xf>
    <xf numFmtId="49" fontId="12" fillId="0" borderId="0" xfId="1" applyNumberFormat="1" applyFont="1" applyAlignment="1">
      <alignment horizontal="left" vertical="center" wrapText="1"/>
    </xf>
    <xf numFmtId="0" fontId="13" fillId="0" borderId="0" xfId="1" applyNumberFormat="1" applyFont="1" applyAlignment="1">
      <alignment horizontal="left" vertical="center" wrapText="1"/>
    </xf>
    <xf numFmtId="49" fontId="19" fillId="0" borderId="0" xfId="1" applyNumberFormat="1" applyFont="1" applyAlignment="1">
      <alignment horizontal="right" vertical="center" wrapText="1"/>
    </xf>
    <xf numFmtId="0" fontId="20" fillId="0" borderId="0" xfId="1" applyFont="1" applyAlignment="1">
      <alignment horizontal="right" vertical="center" wrapText="1"/>
    </xf>
    <xf numFmtId="49" fontId="13" fillId="0" borderId="0" xfId="1" applyNumberFormat="1" applyFont="1" applyAlignment="1">
      <alignment horizontal="center" vertical="center" wrapText="1"/>
    </xf>
    <xf numFmtId="0" fontId="32" fillId="0" borderId="26" xfId="1" applyFont="1" applyBorder="1" applyAlignment="1">
      <alignment horizontal="center" vertical="top" wrapText="1"/>
    </xf>
    <xf numFmtId="0" fontId="12" fillId="5" borderId="22" xfId="2" applyFont="1" applyFill="1" applyBorder="1" applyAlignment="1">
      <alignment horizontal="left" vertical="center" wrapText="1"/>
    </xf>
    <xf numFmtId="0" fontId="12" fillId="5" borderId="5" xfId="2" applyFont="1" applyFill="1" applyBorder="1" applyAlignment="1">
      <alignment horizontal="left" vertical="center" wrapText="1"/>
    </xf>
    <xf numFmtId="0" fontId="12" fillId="5" borderId="18" xfId="2" applyFont="1" applyFill="1" applyBorder="1" applyAlignment="1">
      <alignment horizontal="left" vertical="center" wrapText="1"/>
    </xf>
    <xf numFmtId="0" fontId="11" fillId="0" borderId="0" xfId="1" applyFont="1" applyAlignment="1">
      <alignment horizontal="left" vertical="top" wrapText="1"/>
    </xf>
    <xf numFmtId="0" fontId="16" fillId="3" borderId="22" xfId="2" applyFont="1" applyFill="1" applyBorder="1" applyAlignment="1">
      <alignment horizontal="left" vertical="center" wrapText="1"/>
    </xf>
    <xf numFmtId="0" fontId="16" fillId="3" borderId="5" xfId="2" applyFont="1" applyFill="1" applyBorder="1" applyAlignment="1">
      <alignment horizontal="left" vertical="center" wrapText="1"/>
    </xf>
    <xf numFmtId="0" fontId="12" fillId="5" borderId="11" xfId="2" applyFont="1" applyFill="1" applyBorder="1" applyAlignment="1">
      <alignment horizontal="left" vertical="center" wrapText="1"/>
    </xf>
    <xf numFmtId="0" fontId="12" fillId="5" borderId="12" xfId="2" applyFont="1" applyFill="1" applyBorder="1" applyAlignment="1">
      <alignment horizontal="left" vertical="center" wrapText="1"/>
    </xf>
    <xf numFmtId="49" fontId="14" fillId="0" borderId="1" xfId="2" applyNumberFormat="1" applyFont="1" applyBorder="1" applyAlignment="1">
      <alignment horizontal="left" vertical="center" wrapText="1"/>
    </xf>
    <xf numFmtId="0" fontId="11" fillId="3" borderId="3" xfId="2" applyFont="1" applyFill="1" applyBorder="1" applyAlignment="1">
      <alignment horizontal="center" vertical="center" wrapText="1"/>
    </xf>
  </cellXfs>
  <cellStyles count="81">
    <cellStyle name="Обычный" xfId="0" builtinId="0"/>
    <cellStyle name="Обычный 10" xfId="6" xr:uid="{00000000-0005-0000-0000-000001000000}"/>
    <cellStyle name="Обычный 16" xfId="1" xr:uid="{00000000-0005-0000-0000-000002000000}"/>
    <cellStyle name="Обычный 2" xfId="12" xr:uid="{00000000-0005-0000-0000-000003000000}"/>
    <cellStyle name="Обычный 2 15" xfId="2" xr:uid="{00000000-0005-0000-0000-000004000000}"/>
    <cellStyle name="Обычный 2 2" xfId="3" xr:uid="{00000000-0005-0000-0000-000005000000}"/>
    <cellStyle name="Обычный 2 2 2" xfId="9" xr:uid="{00000000-0005-0000-0000-000006000000}"/>
    <cellStyle name="Обычный 2 2 2 2" xfId="10" xr:uid="{00000000-0005-0000-0000-000007000000}"/>
    <cellStyle name="Обычный 2 2 2 2 2" xfId="11" xr:uid="{00000000-0005-0000-0000-000008000000}"/>
    <cellStyle name="Обычный 2 2 2 2 2 2" xfId="22" xr:uid="{170E2499-40DC-4B06-BAFF-E1672C52EA3F}"/>
    <cellStyle name="Обычный 2 2 2 2 2 2 2" xfId="40" xr:uid="{95ABF19E-3C93-4646-9B8D-B6376FFB112D}"/>
    <cellStyle name="Обычный 2 2 2 2 2 2 2 2" xfId="76" xr:uid="{53418830-4B33-4339-8F0B-A3FA86D64326}"/>
    <cellStyle name="Обычный 2 2 2 2 2 2 3" xfId="58" xr:uid="{E98D18D8-3895-428F-AAAF-10F4D8F3564D}"/>
    <cellStyle name="Обычный 2 2 2 2 2 3" xfId="31" xr:uid="{7F4BD189-62FE-4765-983B-3738C84E14CD}"/>
    <cellStyle name="Обычный 2 2 2 2 2 3 2" xfId="67" xr:uid="{01F04344-4F0B-416E-BC95-96D8D6CE64FA}"/>
    <cellStyle name="Обычный 2 2 2 2 2 4" xfId="49" xr:uid="{D9DE3A85-5B28-43A6-AA6E-CE65B6FE22D5}"/>
    <cellStyle name="Обычный 2 2 2 2 3" xfId="21" xr:uid="{BB5D43F6-E5B1-4C0A-83E4-0F85A03F2BFE}"/>
    <cellStyle name="Обычный 2 2 2 2 3 2" xfId="39" xr:uid="{CF6E4DA4-CCFE-443A-AAA1-7EFB1AC0CF81}"/>
    <cellStyle name="Обычный 2 2 2 2 3 2 2" xfId="75" xr:uid="{65BBAB1C-534F-4104-9C53-8D2DE3F60C8C}"/>
    <cellStyle name="Обычный 2 2 2 2 3 3" xfId="57" xr:uid="{26F08EDE-134F-427A-A7AD-2718A506FEB9}"/>
    <cellStyle name="Обычный 2 2 2 2 4" xfId="30" xr:uid="{532A359C-112B-4087-BD2F-BDD222CEED8E}"/>
    <cellStyle name="Обычный 2 2 2 2 4 2" xfId="66" xr:uid="{1D2DC549-866E-486E-BEA3-9FE35CB6494B}"/>
    <cellStyle name="Обычный 2 2 2 2 5" xfId="48" xr:uid="{9E07639C-61E0-45D6-AE12-9B93EBBF3AD5}"/>
    <cellStyle name="Обычный 2 2 2 3" xfId="20" xr:uid="{FFB50B51-CFEC-417A-997C-46185CC70BC2}"/>
    <cellStyle name="Обычный 2 2 2 3 2" xfId="38" xr:uid="{0224C6B4-0CDF-41DF-8EBE-A0693195FB7B}"/>
    <cellStyle name="Обычный 2 2 2 3 2 2" xfId="74" xr:uid="{90E2DCC5-1A36-4B2E-928C-86EB1FFA08B6}"/>
    <cellStyle name="Обычный 2 2 2 3 3" xfId="56" xr:uid="{B05C15E5-B58C-46FF-ACF8-33F1D594D4EA}"/>
    <cellStyle name="Обычный 2 2 2 4" xfId="29" xr:uid="{FD7D5AC7-353D-4708-948B-175FB0D43F87}"/>
    <cellStyle name="Обычный 2 2 2 4 2" xfId="65" xr:uid="{DEB91B2C-A78F-4721-8876-68705CD5E5C9}"/>
    <cellStyle name="Обычный 2 2 2 5" xfId="47" xr:uid="{1D498237-E3CF-4100-B51B-A4C0D290130F}"/>
    <cellStyle name="Обычный 2 3" xfId="23" xr:uid="{9813E156-7CF2-421C-A364-D81B7001B7C3}"/>
    <cellStyle name="Обычный 2 3 2" xfId="41" xr:uid="{F84126A2-C992-4F12-BB24-EFDF07945EFA}"/>
    <cellStyle name="Обычный 2 3 2 2" xfId="77" xr:uid="{CE5879DB-873C-4B77-B3B8-278AA786961F}"/>
    <cellStyle name="Обычный 2 3 3" xfId="59" xr:uid="{A967BE61-C24B-4629-8B2F-FD3655033F9C}"/>
    <cellStyle name="Обычный 2 4" xfId="32" xr:uid="{E2A095D0-9A18-4218-BBFA-131A049F0876}"/>
    <cellStyle name="Обычный 2 4 2" xfId="68" xr:uid="{BD84F8D7-1071-4F69-AE91-20BF1491B505}"/>
    <cellStyle name="Обычный 2 5" xfId="50" xr:uid="{64CFC0E8-C2AC-49F8-A9E2-DBF91BC7C0A9}"/>
    <cellStyle name="Обычный 3" xfId="15" xr:uid="{00000000-0005-0000-0000-000009000000}"/>
    <cellStyle name="Обычный 3 2" xfId="16" xr:uid="{00000000-0005-0000-0000-00000A000000}"/>
    <cellStyle name="Обычный 3 2 2" xfId="25" xr:uid="{FB34163C-5B09-438E-82C9-142BD8F92AA4}"/>
    <cellStyle name="Обычный 3 2 2 2" xfId="43" xr:uid="{EDA23D90-93BD-4E99-8F66-0FCA3BC995B6}"/>
    <cellStyle name="Обычный 3 2 2 2 2" xfId="79" xr:uid="{B97896A8-08D7-44AA-BBFE-CE76215E5E78}"/>
    <cellStyle name="Обычный 3 2 2 3" xfId="61" xr:uid="{6C24B638-84E1-497E-8C54-0B53CC32549A}"/>
    <cellStyle name="Обычный 3 2 3" xfId="34" xr:uid="{B3ECD1F5-7011-4F80-B03F-46A87AD535D2}"/>
    <cellStyle name="Обычный 3 2 3 2" xfId="70" xr:uid="{B096F4EE-1E50-492B-BD68-9C7211C76E11}"/>
    <cellStyle name="Обычный 3 2 4" xfId="52" xr:uid="{AE61593D-9EB2-467A-950B-14CC54CDF53F}"/>
    <cellStyle name="Обычный 3 3" xfId="17" xr:uid="{00000000-0005-0000-0000-00000B000000}"/>
    <cellStyle name="Обычный 3 3 2" xfId="26" xr:uid="{7DCF2748-3C5D-4745-BA29-E203869DB34E}"/>
    <cellStyle name="Обычный 3 3 2 2" xfId="44" xr:uid="{9D4D03FF-D950-4F95-B506-34A6D300E861}"/>
    <cellStyle name="Обычный 3 3 2 2 2" xfId="80" xr:uid="{A9E4DB50-DA04-4141-A081-622D4791CC8F}"/>
    <cellStyle name="Обычный 3 3 2 3" xfId="62" xr:uid="{EB498EF3-C628-4DCB-B3AF-4076D4E2FDB3}"/>
    <cellStyle name="Обычный 3 3 3" xfId="35" xr:uid="{2B3E8B49-FDBD-4DA7-AE55-9EB55364F15C}"/>
    <cellStyle name="Обычный 3 3 3 2" xfId="71" xr:uid="{B5818383-F286-405A-AF06-C8556798516C}"/>
    <cellStyle name="Обычный 3 3 4" xfId="53" xr:uid="{F5059360-676D-4798-81E8-EBF37833AF1E}"/>
    <cellStyle name="Обычный 3 4" xfId="8" xr:uid="{00000000-0005-0000-0000-00000C000000}"/>
    <cellStyle name="Обычный 8" xfId="14" xr:uid="{00000000-0005-0000-0000-00000D000000}"/>
    <cellStyle name="Процентный 2" xfId="5" xr:uid="{00000000-0005-0000-0000-00000E000000}"/>
    <cellStyle name="Финансовый 2" xfId="4" xr:uid="{00000000-0005-0000-0000-00000F000000}"/>
    <cellStyle name="Финансовый 2 2" xfId="7" xr:uid="{00000000-0005-0000-0000-000010000000}"/>
    <cellStyle name="Финансовый 2 2 2" xfId="19" xr:uid="{DA0C3B4D-D287-47B5-8B21-9C26D995B981}"/>
    <cellStyle name="Финансовый 2 2 2 2" xfId="37" xr:uid="{7E29FCC4-57C7-4070-AA39-A7C0FBF33896}"/>
    <cellStyle name="Финансовый 2 2 2 2 2" xfId="73" xr:uid="{63F7C3F8-6BCB-4185-9004-53BD7CDDC0EC}"/>
    <cellStyle name="Финансовый 2 2 2 3" xfId="55" xr:uid="{1B14D0EA-85C4-4527-A591-6D8AD0C37BDA}"/>
    <cellStyle name="Финансовый 2 2 3" xfId="28" xr:uid="{71F593B4-22A7-4D59-804F-4B75C52D3476}"/>
    <cellStyle name="Финансовый 2 2 3 2" xfId="64" xr:uid="{54159F01-72A1-436F-B3EE-6F60F0556A5D}"/>
    <cellStyle name="Финансовый 2 2 4" xfId="46" xr:uid="{822FDD32-0F1B-4F46-BA72-F87379F5A670}"/>
    <cellStyle name="Финансовый 2 3" xfId="13" xr:uid="{00000000-0005-0000-0000-000011000000}"/>
    <cellStyle name="Финансовый 2 3 2" xfId="24" xr:uid="{84E1537C-C2C7-48FB-91A3-64932A2AB41E}"/>
    <cellStyle name="Финансовый 2 3 2 2" xfId="42" xr:uid="{C8974719-23DE-4882-ADBA-2A9CD2EE03F4}"/>
    <cellStyle name="Финансовый 2 3 2 2 2" xfId="78" xr:uid="{2DCEEF65-975A-414C-87B5-97BE3BEB60D4}"/>
    <cellStyle name="Финансовый 2 3 2 3" xfId="60" xr:uid="{C3D7C93B-BD0C-417E-BF1D-5B5EB13A14AA}"/>
    <cellStyle name="Финансовый 2 3 3" xfId="33" xr:uid="{B80B2405-4144-4B8D-9283-199032010B83}"/>
    <cellStyle name="Финансовый 2 3 3 2" xfId="69" xr:uid="{6FD50A59-AD38-4253-B32B-C67CEAFA85C0}"/>
    <cellStyle name="Финансовый 2 3 4" xfId="51" xr:uid="{CDD30B93-F9A8-47FB-B5CC-D1F1226DCBC9}"/>
    <cellStyle name="Финансовый 2 4" xfId="18" xr:uid="{BBB2CF1D-9955-4CF5-91AE-42C70E0173DB}"/>
    <cellStyle name="Финансовый 2 4 2" xfId="36" xr:uid="{CCEB3142-7A5A-442E-8663-D0F91B4E2598}"/>
    <cellStyle name="Финансовый 2 4 2 2" xfId="72" xr:uid="{3BB0F87F-51CD-4CE7-8E81-3D7C5BB5FB47}"/>
    <cellStyle name="Финансовый 2 4 3" xfId="54" xr:uid="{C4E8A1F5-EFA0-4CCF-9B2F-38F5BE42FA3C}"/>
    <cellStyle name="Финансовый 2 5" xfId="27" xr:uid="{724B3881-C82E-478D-B66C-7DB776F08279}"/>
    <cellStyle name="Финансовый 2 5 2" xfId="63" xr:uid="{69D12A3A-F2B6-4665-ABB0-C065001501C2}"/>
    <cellStyle name="Финансовый 2 6" xfId="45" xr:uid="{A30D96EF-ABB3-4920-9715-86CB02D228DB}"/>
  </cellStyles>
  <dxfs count="0"/>
  <tableStyles count="0" defaultTableStyle="TableStyleMedium2" defaultPivotStyle="PivotStyleLight16"/>
  <colors>
    <mruColors>
      <color rgb="FFC5D9F1"/>
      <color rgb="FFDCE6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3</xdr:row>
          <xdr:rowOff>0</xdr:rowOff>
        </xdr:from>
        <xdr:to>
          <xdr:col>1</xdr:col>
          <xdr:colOff>1333500</xdr:colOff>
          <xdr:row>4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Редактировать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1457325</xdr:colOff>
          <xdr:row>3</xdr:row>
          <xdr:rowOff>9525</xdr:rowOff>
        </xdr:from>
        <xdr:to>
          <xdr:col>2</xdr:col>
          <xdr:colOff>190500</xdr:colOff>
          <xdr:row>4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314325</xdr:colOff>
          <xdr:row>3</xdr:row>
          <xdr:rowOff>9525</xdr:rowOff>
        </xdr:from>
        <xdr:to>
          <xdr:col>2</xdr:col>
          <xdr:colOff>1790700</xdr:colOff>
          <xdr:row>4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Сформировать файл для отправки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1028700</xdr:colOff>
          <xdr:row>2</xdr:row>
          <xdr:rowOff>142875</xdr:rowOff>
        </xdr:from>
        <xdr:to>
          <xdr:col>6</xdr:col>
          <xdr:colOff>1219200</xdr:colOff>
          <xdr:row>4</xdr:row>
          <xdr:rowOff>57150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Этапы по положению в таблице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142875</xdr:rowOff>
        </xdr:from>
        <xdr:to>
          <xdr:col>4</xdr:col>
          <xdr:colOff>790575</xdr:colOff>
          <xdr:row>4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Этап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2</xdr:row>
          <xdr:rowOff>142875</xdr:rowOff>
        </xdr:from>
        <xdr:to>
          <xdr:col>5</xdr:col>
          <xdr:colOff>819150</xdr:colOff>
          <xdr:row>4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Этап вниз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333375</xdr:colOff>
          <xdr:row>3</xdr:row>
          <xdr:rowOff>0</xdr:rowOff>
        </xdr:from>
        <xdr:to>
          <xdr:col>7</xdr:col>
          <xdr:colOff>1038225</xdr:colOff>
          <xdr:row>4</xdr:row>
          <xdr:rowOff>47625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Номер строки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theme="6" tint="0.39997558519241921"/>
    <pageSetUpPr fitToPage="1"/>
  </sheetPr>
  <dimension ref="A2:H17"/>
  <sheetViews>
    <sheetView view="pageBreakPreview" zoomScale="80" zoomScaleNormal="80" zoomScaleSheetLayoutView="80" workbookViewId="0">
      <selection activeCell="B18" sqref="B18"/>
    </sheetView>
  </sheetViews>
  <sheetFormatPr defaultColWidth="8.85546875" defaultRowHeight="12.75"/>
  <cols>
    <col min="1" max="1" width="5.28515625" style="3" customWidth="1"/>
    <col min="2" max="2" width="41.140625" style="3" customWidth="1"/>
    <col min="3" max="3" width="33.7109375" style="3" customWidth="1"/>
    <col min="4" max="4" width="35.85546875" style="3" customWidth="1"/>
    <col min="5" max="5" width="13.28515625" style="3" customWidth="1"/>
    <col min="6" max="6" width="17.85546875" style="3" customWidth="1"/>
    <col min="7" max="7" width="21.28515625" style="3" customWidth="1"/>
    <col min="8" max="8" width="20.42578125" style="3" customWidth="1"/>
    <col min="9" max="16384" width="8.85546875" style="3"/>
  </cols>
  <sheetData>
    <row r="2" spans="1:8" ht="40.5" customHeight="1">
      <c r="A2" s="71" t="s">
        <v>12</v>
      </c>
      <c r="B2" s="71"/>
      <c r="C2" s="71"/>
      <c r="D2" s="71"/>
      <c r="E2" s="71"/>
      <c r="F2" s="71"/>
      <c r="G2" s="71"/>
      <c r="H2" s="71"/>
    </row>
    <row r="3" spans="1:8">
      <c r="A3" s="72"/>
      <c r="B3" s="72"/>
      <c r="C3" s="72"/>
      <c r="D3" s="72"/>
      <c r="E3" s="72"/>
      <c r="F3" s="72"/>
      <c r="G3" s="72"/>
      <c r="H3" s="72"/>
    </row>
    <row r="4" spans="1:8" ht="27" customHeight="1">
      <c r="A4" s="73" t="s">
        <v>4</v>
      </c>
      <c r="B4" s="73"/>
      <c r="C4" s="73"/>
      <c r="D4" s="73"/>
      <c r="E4" s="73"/>
      <c r="F4" s="73"/>
      <c r="G4" s="73"/>
      <c r="H4" s="73"/>
    </row>
    <row r="5" spans="1:8" ht="16.5" customHeight="1">
      <c r="A5" s="72"/>
      <c r="B5" s="72"/>
      <c r="C5" s="74"/>
      <c r="D5" s="74"/>
      <c r="E5" s="74"/>
      <c r="F5" s="74"/>
      <c r="G5" s="74"/>
      <c r="H5" s="74"/>
    </row>
    <row r="6" spans="1:8" s="1" customFormat="1" ht="15">
      <c r="A6" s="76" t="s">
        <v>5</v>
      </c>
      <c r="B6" s="76"/>
      <c r="C6" s="75"/>
      <c r="D6" s="75"/>
      <c r="E6" s="75"/>
      <c r="F6" s="75"/>
      <c r="G6" s="75"/>
      <c r="H6" s="75"/>
    </row>
    <row r="7" spans="1:8" s="1" customFormat="1" ht="15">
      <c r="A7" s="76" t="s">
        <v>2</v>
      </c>
      <c r="B7" s="76"/>
      <c r="C7" s="75"/>
      <c r="D7" s="75"/>
      <c r="E7" s="75"/>
      <c r="F7" s="75"/>
      <c r="G7" s="75"/>
      <c r="H7" s="75"/>
    </row>
    <row r="8" spans="1:8" s="1" customFormat="1" ht="15">
      <c r="A8" s="76" t="s">
        <v>8</v>
      </c>
      <c r="B8" s="76"/>
      <c r="C8" s="75" t="s">
        <v>23</v>
      </c>
      <c r="D8" s="75"/>
      <c r="E8" s="75"/>
      <c r="F8" s="75"/>
      <c r="G8" s="75"/>
      <c r="H8" s="75"/>
    </row>
    <row r="9" spans="1:8" s="1" customFormat="1" ht="15">
      <c r="A9" s="76" t="s">
        <v>9</v>
      </c>
      <c r="B9" s="76"/>
      <c r="C9" s="77" t="s">
        <v>24</v>
      </c>
      <c r="D9" s="77"/>
      <c r="E9" s="77"/>
      <c r="F9" s="77"/>
      <c r="G9" s="77"/>
      <c r="H9" s="77"/>
    </row>
    <row r="10" spans="1:8" s="1" customFormat="1" ht="15">
      <c r="A10" s="76" t="s">
        <v>13</v>
      </c>
      <c r="B10" s="76"/>
      <c r="C10" s="41" t="s">
        <v>40</v>
      </c>
      <c r="D10" s="40"/>
      <c r="E10" s="40"/>
      <c r="F10" s="40"/>
      <c r="G10" s="40"/>
      <c r="H10" s="40"/>
    </row>
    <row r="11" spans="1:8" s="1" customFormat="1" ht="15">
      <c r="A11" s="76" t="s">
        <v>14</v>
      </c>
      <c r="B11" s="76"/>
      <c r="C11" s="77" t="e">
        <f>VLOOKUP($C$10,Справочник!$C$1:$D$29518,2,0)</f>
        <v>#N/A</v>
      </c>
      <c r="D11" s="77"/>
      <c r="E11" s="77"/>
      <c r="F11" s="77"/>
      <c r="G11" s="77"/>
      <c r="H11" s="77"/>
    </row>
    <row r="12" spans="1:8" s="1" customFormat="1" ht="15">
      <c r="A12" s="76" t="s">
        <v>6</v>
      </c>
      <c r="B12" s="76"/>
      <c r="C12" s="9" t="s">
        <v>15</v>
      </c>
      <c r="D12" s="9"/>
      <c r="E12" s="80"/>
      <c r="F12" s="80"/>
      <c r="G12" s="80"/>
      <c r="H12" s="80"/>
    </row>
    <row r="13" spans="1:8" s="1" customFormat="1" ht="15">
      <c r="A13" s="76" t="s">
        <v>1</v>
      </c>
      <c r="B13" s="76"/>
      <c r="C13" s="75"/>
      <c r="D13" s="75"/>
      <c r="E13" s="75"/>
      <c r="F13" s="75"/>
      <c r="G13" s="75"/>
      <c r="H13" s="75"/>
    </row>
    <row r="14" spans="1:8" s="1" customFormat="1" ht="27" customHeight="1" thickBot="1">
      <c r="B14" s="78"/>
      <c r="C14" s="78"/>
      <c r="D14" s="78"/>
      <c r="E14" s="78"/>
      <c r="F14" s="78"/>
      <c r="G14" s="79"/>
      <c r="H14" s="79"/>
    </row>
    <row r="15" spans="1:8" s="2" customFormat="1" ht="28.5" customHeight="1">
      <c r="A15" s="65" t="s">
        <v>0</v>
      </c>
      <c r="B15" s="67" t="s">
        <v>16</v>
      </c>
      <c r="C15" s="67" t="s">
        <v>17</v>
      </c>
      <c r="D15" s="69" t="s">
        <v>18</v>
      </c>
      <c r="E15" s="67" t="s">
        <v>3</v>
      </c>
      <c r="F15" s="61" t="s">
        <v>19</v>
      </c>
      <c r="G15" s="63" t="s">
        <v>42</v>
      </c>
      <c r="H15" s="59" t="s">
        <v>43</v>
      </c>
    </row>
    <row r="16" spans="1:8" s="2" customFormat="1" ht="36" customHeight="1" thickBot="1">
      <c r="A16" s="66"/>
      <c r="B16" s="68"/>
      <c r="C16" s="68"/>
      <c r="D16" s="70"/>
      <c r="E16" s="68"/>
      <c r="F16" s="62"/>
      <c r="G16" s="64"/>
      <c r="H16" s="60"/>
    </row>
    <row r="17" spans="1:8" ht="13.7" customHeight="1">
      <c r="A17" s="10">
        <v>1</v>
      </c>
      <c r="B17" s="11">
        <v>2</v>
      </c>
      <c r="C17" s="11">
        <v>3</v>
      </c>
      <c r="D17" s="11">
        <v>4</v>
      </c>
      <c r="E17" s="11">
        <v>5</v>
      </c>
      <c r="F17" s="11">
        <v>6</v>
      </c>
      <c r="G17" s="11">
        <v>7</v>
      </c>
      <c r="H17" s="12">
        <v>8</v>
      </c>
    </row>
  </sheetData>
  <mergeCells count="29">
    <mergeCell ref="C7:H7"/>
    <mergeCell ref="C8:H8"/>
    <mergeCell ref="C9:H9"/>
    <mergeCell ref="B14:H14"/>
    <mergeCell ref="A7:B7"/>
    <mergeCell ref="A8:B8"/>
    <mergeCell ref="A9:B9"/>
    <mergeCell ref="A10:B10"/>
    <mergeCell ref="A11:B11"/>
    <mergeCell ref="A12:B12"/>
    <mergeCell ref="C11:H11"/>
    <mergeCell ref="E12:H12"/>
    <mergeCell ref="A13:B13"/>
    <mergeCell ref="C13:H13"/>
    <mergeCell ref="A2:H2"/>
    <mergeCell ref="A3:H3"/>
    <mergeCell ref="A4:H4"/>
    <mergeCell ref="C5:H5"/>
    <mergeCell ref="C6:H6"/>
    <mergeCell ref="A6:B6"/>
    <mergeCell ref="A5:B5"/>
    <mergeCell ref="H15:H16"/>
    <mergeCell ref="F15:F16"/>
    <mergeCell ref="G15:G16"/>
    <mergeCell ref="A15:A16"/>
    <mergeCell ref="B15:B16"/>
    <mergeCell ref="C15:C16"/>
    <mergeCell ref="D15:D16"/>
    <mergeCell ref="E15:E16"/>
  </mergeCells>
  <phoneticPr fontId="21" type="noConversion"/>
  <dataValidations disablePrompts="1" count="1">
    <dataValidation type="list" allowBlank="1" showInputMessage="1" showErrorMessage="1" error="Введите один из предложенных вариантов" sqref="C12:D12" xr:uid="{64B0F9C4-607F-458A-BDF9-028C2A92011A}">
      <formula1>"российский рубль (RUB), доллар США (USD), евро (EUR), фунт стерлингов (GBP)"</formula1>
    </dataValidation>
  </dataValidations>
  <pageMargins left="0.7" right="0.7" top="0.75" bottom="0.75" header="0.3" footer="0.3"/>
  <pageSetup paperSize="9" scale="4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>
                  <from>
                    <xdr:col>0</xdr:col>
                    <xdr:colOff>123825</xdr:colOff>
                    <xdr:row>3</xdr:row>
                    <xdr:rowOff>0</xdr:rowOff>
                  </from>
                  <to>
                    <xdr:col>1</xdr:col>
                    <xdr:colOff>1333500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KP01_ochistka">
                <anchor>
                  <from>
                    <xdr:col>1</xdr:col>
                    <xdr:colOff>1457325</xdr:colOff>
                    <xdr:row>3</xdr:row>
                    <xdr:rowOff>9525</xdr:rowOff>
                  </from>
                  <to>
                    <xdr:col>2</xdr:col>
                    <xdr:colOff>190500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KP01_copysheet">
                <anchor>
                  <from>
                    <xdr:col>2</xdr:col>
                    <xdr:colOff>314325</xdr:colOff>
                    <xdr:row>3</xdr:row>
                    <xdr:rowOff>9525</xdr:rowOff>
                  </from>
                  <to>
                    <xdr:col>2</xdr:col>
                    <xdr:colOff>1790700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num_etap">
                <anchor>
                  <from>
                    <xdr:col>5</xdr:col>
                    <xdr:colOff>1028700</xdr:colOff>
                    <xdr:row>2</xdr:row>
                    <xdr:rowOff>142875</xdr:rowOff>
                  </from>
                  <to>
                    <xdr:col>6</xdr:col>
                    <xdr:colOff>1219200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up_etap">
                <anchor>
                  <from>
                    <xdr:col>4</xdr:col>
                    <xdr:colOff>0</xdr:colOff>
                    <xdr:row>2</xdr:row>
                    <xdr:rowOff>142875</xdr:rowOff>
                  </from>
                  <to>
                    <xdr:col>4</xdr:col>
                    <xdr:colOff>790575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down_etap">
                <anchor>
                  <from>
                    <xdr:col>5</xdr:col>
                    <xdr:colOff>0</xdr:colOff>
                    <xdr:row>2</xdr:row>
                    <xdr:rowOff>142875</xdr:rowOff>
                  </from>
                  <to>
                    <xdr:col>5</xdr:col>
                    <xdr:colOff>819150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nomer_stroki">
                <anchor>
                  <from>
                    <xdr:col>7</xdr:col>
                    <xdr:colOff>333375</xdr:colOff>
                    <xdr:row>3</xdr:row>
                    <xdr:rowOff>0</xdr:rowOff>
                  </from>
                  <to>
                    <xdr:col>7</xdr:col>
                    <xdr:colOff>1038225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AC14B-A908-4233-BF89-39F4E798D685}">
  <dimension ref="A1:H19"/>
  <sheetViews>
    <sheetView tabSelected="1" workbookViewId="0">
      <selection activeCell="A19" sqref="A19"/>
    </sheetView>
  </sheetViews>
  <sheetFormatPr defaultRowHeight="12.75"/>
  <sheetData>
    <row r="1" spans="1:8" ht="15.75" customHeight="1" thickBot="1">
      <c r="A1" s="49"/>
      <c r="B1" s="82" t="s">
        <v>22</v>
      </c>
      <c r="C1" s="83"/>
      <c r="D1" s="50"/>
      <c r="E1" s="51"/>
      <c r="F1" s="52" t="e" cm="1">
        <f t="array" ref="F1">SUMPRODUCT((услуги&lt;&gt;"Итого:")*(услуги&lt;&gt;"Всего без НДС"),F$17:INDEX(F:F, MATCH("Всего без НДС",$B:$B,0)-1))-F$17</f>
        <v>#N/A</v>
      </c>
      <c r="G1" s="52"/>
      <c r="H1" s="52" t="e" cm="1">
        <f t="array" ref="H1">SUMPRODUCT((услуги&lt;&gt;"Итого:")*(услуги&lt;&gt;"Всего без НДС"),H$17:INDEX(H:H, MATCH("Всего без НДС",$B:$B,0)-1))-H$17</f>
        <v>#N/A</v>
      </c>
    </row>
    <row r="2" spans="1:8" ht="15.75" customHeight="1" thickBot="1">
      <c r="A2" s="49"/>
      <c r="B2" s="84" t="s">
        <v>44</v>
      </c>
      <c r="C2" s="84"/>
      <c r="D2" s="53"/>
      <c r="E2" s="54"/>
      <c r="F2" s="55"/>
      <c r="G2" s="55"/>
      <c r="H2" s="56"/>
    </row>
    <row r="3" spans="1:8" ht="15.75" customHeight="1" thickBot="1">
      <c r="A3" s="49"/>
      <c r="B3" s="84" t="s">
        <v>45</v>
      </c>
      <c r="C3" s="84"/>
      <c r="D3" s="53"/>
      <c r="E3" s="54"/>
      <c r="F3" s="55" t="e">
        <f>F1</f>
        <v>#N/A</v>
      </c>
      <c r="G3" s="55"/>
      <c r="H3" s="56" t="e">
        <f>H1+H2</f>
        <v>#N/A</v>
      </c>
    </row>
    <row r="4" spans="1:8" ht="15">
      <c r="A4" s="46"/>
      <c r="B4" s="46"/>
      <c r="C4" s="46"/>
      <c r="D4" s="46"/>
      <c r="E4" s="46"/>
      <c r="F4" s="47"/>
      <c r="G4" s="47"/>
      <c r="H4" s="47"/>
    </row>
    <row r="5" spans="1:8" ht="12.75" customHeight="1">
      <c r="A5" s="85" t="s">
        <v>46</v>
      </c>
      <c r="B5" s="85"/>
      <c r="C5" s="85"/>
      <c r="D5" s="85"/>
      <c r="E5" s="85"/>
      <c r="F5" s="85"/>
      <c r="G5" s="85"/>
      <c r="H5" s="85"/>
    </row>
    <row r="6" spans="1:8">
      <c r="A6" s="85"/>
      <c r="B6" s="85"/>
      <c r="C6" s="85"/>
      <c r="D6" s="85"/>
      <c r="E6" s="85"/>
      <c r="F6" s="85"/>
      <c r="G6" s="85"/>
      <c r="H6" s="85"/>
    </row>
    <row r="7" spans="1:8">
      <c r="A7" s="45"/>
      <c r="B7" s="48"/>
      <c r="C7" s="48"/>
      <c r="D7" s="48"/>
      <c r="E7" s="48"/>
      <c r="F7" s="48"/>
      <c r="G7" s="45"/>
      <c r="H7" s="45"/>
    </row>
    <row r="8" spans="1:8">
      <c r="A8" s="45"/>
      <c r="B8" s="48"/>
      <c r="C8" s="48"/>
      <c r="D8" s="48"/>
      <c r="E8" s="48"/>
      <c r="F8" s="48"/>
      <c r="G8" s="45"/>
      <c r="H8" s="45"/>
    </row>
    <row r="9" spans="1:8" ht="12.75" customHeight="1">
      <c r="A9" s="45"/>
      <c r="B9" s="57"/>
      <c r="C9" s="81" t="s">
        <v>47</v>
      </c>
      <c r="D9" s="81"/>
      <c r="E9" s="81"/>
      <c r="F9" s="57"/>
      <c r="G9" s="45"/>
      <c r="H9" s="45"/>
    </row>
    <row r="10" spans="1:8">
      <c r="A10" s="45"/>
      <c r="B10" s="43"/>
      <c r="C10" s="43"/>
      <c r="D10" s="43"/>
      <c r="E10" s="43"/>
      <c r="F10" s="43"/>
      <c r="G10" s="45"/>
      <c r="H10" s="45"/>
    </row>
    <row r="11" spans="1:8">
      <c r="A11" s="45"/>
      <c r="B11" s="43"/>
      <c r="C11" s="43"/>
      <c r="D11" s="43"/>
      <c r="E11" s="43"/>
      <c r="F11" s="43"/>
      <c r="G11" s="45"/>
      <c r="H11" s="45"/>
    </row>
    <row r="12" spans="1:8" ht="12.75" customHeight="1">
      <c r="A12" s="45"/>
      <c r="B12" s="57"/>
      <c r="C12" s="81" t="s">
        <v>48</v>
      </c>
      <c r="D12" s="81"/>
      <c r="E12" s="81"/>
      <c r="F12" s="57"/>
      <c r="G12" s="45"/>
      <c r="H12" s="45"/>
    </row>
    <row r="13" spans="1:8">
      <c r="A13" s="45"/>
      <c r="B13" s="43"/>
      <c r="C13" s="43"/>
      <c r="D13" s="43"/>
      <c r="E13" s="44" t="s">
        <v>49</v>
      </c>
      <c r="F13" s="45"/>
      <c r="G13" s="45"/>
      <c r="H13" s="45"/>
    </row>
    <row r="14" spans="1:8">
      <c r="A14" s="45"/>
      <c r="B14" s="43"/>
      <c r="C14" s="43"/>
      <c r="D14" s="43"/>
      <c r="E14" s="43"/>
      <c r="F14" s="43"/>
      <c r="G14" s="45"/>
      <c r="H14" s="45"/>
    </row>
    <row r="15" spans="1:8">
      <c r="A15" s="45"/>
      <c r="B15" s="57"/>
      <c r="C15" s="81" t="s">
        <v>50</v>
      </c>
      <c r="D15" s="81"/>
      <c r="E15" s="81"/>
      <c r="F15" s="57"/>
      <c r="G15" s="45"/>
      <c r="H15" s="45"/>
    </row>
    <row r="18" spans="1:8" ht="13.5" thickBot="1"/>
    <row r="19" spans="1:8" ht="13.5" thickBot="1">
      <c r="A19" s="91">
        <f t="shared" ref="A19" si="0">ROW(A19)-17</f>
        <v>2</v>
      </c>
      <c r="B19" s="86" t="s">
        <v>7</v>
      </c>
      <c r="C19" s="87"/>
      <c r="D19" s="58"/>
      <c r="E19" s="23"/>
      <c r="F19" s="24"/>
      <c r="G19" s="25"/>
      <c r="H19" s="26">
        <v>0</v>
      </c>
    </row>
  </sheetData>
  <mergeCells count="8">
    <mergeCell ref="B19:C19"/>
    <mergeCell ref="C12:E12"/>
    <mergeCell ref="C15:E15"/>
    <mergeCell ref="B1:C1"/>
    <mergeCell ref="B2:C2"/>
    <mergeCell ref="B3:C3"/>
    <mergeCell ref="A5:H6"/>
    <mergeCell ref="C9:E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1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8.85546875" defaultRowHeight="12.75"/>
  <cols>
    <col min="1" max="1" width="33" style="35" customWidth="1"/>
    <col min="2" max="2" width="17.140625" style="35" customWidth="1"/>
    <col min="3" max="3" width="16.140625" style="35" customWidth="1"/>
    <col min="4" max="4" width="63.42578125" style="35" customWidth="1"/>
    <col min="5" max="5" width="11.7109375" style="35" customWidth="1"/>
    <col min="6" max="6" width="83.7109375" style="35" customWidth="1"/>
    <col min="7" max="7" width="14.85546875" style="35" customWidth="1"/>
    <col min="8" max="8" width="12.7109375" style="35" customWidth="1"/>
    <col min="9" max="9" width="47.42578125" style="35" customWidth="1"/>
    <col min="10" max="10" width="15.5703125" style="35" customWidth="1"/>
    <col min="11" max="11" width="22.42578125" style="35" bestFit="1" customWidth="1"/>
    <col min="12" max="16384" width="8.85546875" style="35"/>
  </cols>
  <sheetData>
    <row r="1" spans="1:14" ht="15">
      <c r="A1" s="36" t="s">
        <v>26</v>
      </c>
      <c r="B1" s="37" t="s">
        <v>27</v>
      </c>
      <c r="C1" s="37" t="s">
        <v>28</v>
      </c>
      <c r="D1" s="37" t="s">
        <v>29</v>
      </c>
      <c r="E1" s="37" t="s">
        <v>30</v>
      </c>
      <c r="F1" s="37" t="s">
        <v>31</v>
      </c>
      <c r="G1" s="37" t="s">
        <v>32</v>
      </c>
      <c r="H1" s="37" t="s">
        <v>33</v>
      </c>
      <c r="I1" s="38" t="s">
        <v>34</v>
      </c>
      <c r="J1" s="37" t="s">
        <v>35</v>
      </c>
      <c r="K1" s="37" t="s">
        <v>36</v>
      </c>
      <c r="L1" s="37" t="s">
        <v>37</v>
      </c>
      <c r="M1" s="37" t="s">
        <v>38</v>
      </c>
      <c r="N1" s="39" t="s">
        <v>39</v>
      </c>
    </row>
  </sheetData>
  <autoFilter ref="A1:N1" xr:uid="{D501CC80-1D38-4EAD-AE20-00F5B5D34321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H17"/>
  <sheetViews>
    <sheetView workbookViewId="0">
      <selection activeCell="B4" sqref="B4"/>
    </sheetView>
  </sheetViews>
  <sheetFormatPr defaultColWidth="8.85546875" defaultRowHeight="12.75"/>
  <cols>
    <col min="1" max="2" width="8.85546875" style="6"/>
    <col min="3" max="3" width="14.7109375" style="6" customWidth="1"/>
    <col min="4" max="16384" width="8.85546875" style="6"/>
  </cols>
  <sheetData>
    <row r="1" spans="1:8">
      <c r="A1" s="65" t="s">
        <v>0</v>
      </c>
      <c r="B1" s="67" t="s">
        <v>16</v>
      </c>
      <c r="C1" s="67" t="s">
        <v>17</v>
      </c>
      <c r="D1" s="69" t="s">
        <v>18</v>
      </c>
      <c r="E1" s="67" t="s">
        <v>3</v>
      </c>
      <c r="F1" s="61" t="s">
        <v>19</v>
      </c>
      <c r="G1" s="63" t="s">
        <v>42</v>
      </c>
      <c r="H1" s="59" t="s">
        <v>43</v>
      </c>
    </row>
    <row r="2" spans="1:8" s="4" customFormat="1" ht="66.75" customHeight="1" thickBot="1">
      <c r="A2" s="66"/>
      <c r="B2" s="68"/>
      <c r="C2" s="68"/>
      <c r="D2" s="70"/>
      <c r="E2" s="68"/>
      <c r="F2" s="62"/>
      <c r="G2" s="64"/>
      <c r="H2" s="60"/>
    </row>
    <row r="3" spans="1:8" s="5" customFormat="1" ht="13.7" customHeight="1" thickBot="1">
      <c r="A3" s="10">
        <v>1</v>
      </c>
      <c r="B3" s="11">
        <v>2</v>
      </c>
      <c r="C3" s="11">
        <v>3</v>
      </c>
      <c r="D3" s="11">
        <v>4</v>
      </c>
      <c r="E3" s="11">
        <v>5</v>
      </c>
      <c r="F3" s="11">
        <v>6</v>
      </c>
      <c r="G3" s="11">
        <v>7</v>
      </c>
      <c r="H3" s="12">
        <v>8</v>
      </c>
    </row>
    <row r="4" spans="1:8" s="3" customFormat="1" ht="62.25" customHeight="1">
      <c r="A4" s="32">
        <f>ROW(A4)-17</f>
        <v>-13</v>
      </c>
      <c r="B4" s="42" t="s">
        <v>25</v>
      </c>
      <c r="C4" s="13" t="s">
        <v>20</v>
      </c>
      <c r="D4" s="14" t="s">
        <v>41</v>
      </c>
      <c r="E4" s="15" t="s">
        <v>10</v>
      </c>
      <c r="F4" s="16">
        <v>0</v>
      </c>
      <c r="G4" s="17">
        <v>0</v>
      </c>
      <c r="H4" s="18">
        <f>F4*G4</f>
        <v>0</v>
      </c>
    </row>
    <row r="6" spans="1:8">
      <c r="A6" s="7" t="s">
        <v>11</v>
      </c>
      <c r="B6" s="8"/>
      <c r="C6" s="8"/>
      <c r="D6" s="8"/>
      <c r="E6" s="8"/>
      <c r="F6" s="8"/>
      <c r="G6" s="8"/>
      <c r="H6" s="8"/>
    </row>
    <row r="7" spans="1:8">
      <c r="A7" s="7"/>
      <c r="B7" s="8"/>
      <c r="C7" s="8"/>
      <c r="D7" s="8"/>
      <c r="E7" s="8"/>
      <c r="F7" s="8"/>
      <c r="G7" s="8"/>
      <c r="H7" s="8"/>
    </row>
    <row r="8" spans="1:8">
      <c r="A8" s="7"/>
      <c r="B8" s="8"/>
      <c r="C8" s="8"/>
      <c r="D8" s="8"/>
      <c r="E8" s="8"/>
      <c r="F8" s="8"/>
      <c r="G8" s="8"/>
      <c r="H8" s="8"/>
    </row>
    <row r="9" spans="1:8">
      <c r="A9" s="7"/>
      <c r="B9" s="8"/>
      <c r="C9" s="8"/>
      <c r="D9" s="8"/>
      <c r="E9" s="8"/>
      <c r="F9" s="8"/>
      <c r="G9" s="8"/>
      <c r="H9" s="8"/>
    </row>
    <row r="10" spans="1:8" ht="13.5" thickBot="1"/>
    <row r="11" spans="1:8" s="3" customFormat="1" ht="23.25" customHeight="1" thickBot="1">
      <c r="A11" s="33">
        <f>ROW(A11)-17</f>
        <v>-6</v>
      </c>
      <c r="B11" s="90" t="s">
        <v>21</v>
      </c>
      <c r="C11" s="90"/>
      <c r="D11" s="90"/>
      <c r="E11" s="90"/>
      <c r="F11" s="19">
        <f>SUM(F6:F10)</f>
        <v>0</v>
      </c>
      <c r="G11" s="20"/>
      <c r="H11" s="21">
        <f>SUM(H6:H10)</f>
        <v>0</v>
      </c>
    </row>
    <row r="15" spans="1:8" ht="13.5" thickBot="1"/>
    <row r="16" spans="1:8" s="3" customFormat="1" ht="68.25" customHeight="1" thickBot="1">
      <c r="A16" s="34">
        <f>ROW(A16)-17</f>
        <v>-1</v>
      </c>
      <c r="B16" s="86" t="s">
        <v>7</v>
      </c>
      <c r="C16" s="87"/>
      <c r="D16" s="22"/>
      <c r="E16" s="23"/>
      <c r="F16" s="24"/>
      <c r="G16" s="25"/>
      <c r="H16" s="26">
        <v>0</v>
      </c>
    </row>
    <row r="17" spans="1:8" s="3" customFormat="1" ht="30" customHeight="1" thickBot="1">
      <c r="A17" s="27"/>
      <c r="B17" s="88" t="s">
        <v>22</v>
      </c>
      <c r="C17" s="89"/>
      <c r="D17" s="28"/>
      <c r="E17" s="29"/>
      <c r="F17" s="30">
        <f>F9+F15</f>
        <v>0</v>
      </c>
      <c r="G17" s="30"/>
      <c r="H17" s="31">
        <f>H9+H15+H16</f>
        <v>0</v>
      </c>
    </row>
  </sheetData>
  <mergeCells count="11">
    <mergeCell ref="A1:A2"/>
    <mergeCell ref="B1:B2"/>
    <mergeCell ref="C1:C2"/>
    <mergeCell ref="D1:D2"/>
    <mergeCell ref="E1:E2"/>
    <mergeCell ref="F1:F2"/>
    <mergeCell ref="G1:G2"/>
    <mergeCell ref="H1:H2"/>
    <mergeCell ref="B16:C16"/>
    <mergeCell ref="B17:C17"/>
    <mergeCell ref="B11:E1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F8A5F68EB6CE564C91EE5D0943184FC8" ma:contentTypeVersion="2" ma:contentTypeDescription="Создание документа." ma:contentTypeScope="" ma:versionID="13dd0c60432a54b0836a432cf09a1ad0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66a894e577c8f46343a3559c331630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1745033-B4EB-40D4-8A09-A77476140F26}">
  <ds:schemaRefs>
    <ds:schemaRef ds:uri="http://purl.org/dc/terms/"/>
    <ds:schemaRef ds:uri="http://purl.org/dc/elements/1.1/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DAD89846-0BA5-4D55-AD19-86BCB929342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037840DF-472F-4270-8035-8E23529504C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5D3A1A5B-AAA5-4AAF-8E70-1783146CD7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Форма КП (для анализа рынка) ВР</vt:lpstr>
      <vt:lpstr>footer</vt:lpstr>
      <vt:lpstr>Справочник</vt:lpstr>
      <vt:lpstr>Шаблон</vt:lpstr>
    </vt:vector>
  </TitlesOfParts>
  <Company>TNK-BP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 V. Levchenko</dc:creator>
  <cp:lastModifiedBy>Тыщук Юрий Валерьевич</cp:lastModifiedBy>
  <cp:lastPrinted>2020-10-09T13:07:06Z</cp:lastPrinted>
  <dcterms:created xsi:type="dcterms:W3CDTF">2009-12-17T04:41:17Z</dcterms:created>
  <dcterms:modified xsi:type="dcterms:W3CDTF">2022-07-13T13:15:46Z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0x010100F8A5F68EB6CE564C91EE5D0943184FC8</vt:lpwstr>
  </property>
</Properties>
</file>